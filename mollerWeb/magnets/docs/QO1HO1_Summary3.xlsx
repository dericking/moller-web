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autoCompressPictures="0" defaultThemeVersion="124226"/>
  <bookViews>
    <workbookView xWindow="240" yWindow="105" windowWidth="24600" windowHeight="14805" activeTab="1"/>
  </bookViews>
  <sheets>
    <sheet name="Field Map" sheetId="5" r:id="rId1"/>
    <sheet name="Harmonics P3A QO1H01" sheetId="4" r:id="rId2"/>
  </sheets>
  <externalReferences>
    <externalReference r:id="rId3"/>
    <externalReference r:id="rId4"/>
  </externalReferenc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6" i="5"/>
  <c r="C19"/>
  <c r="C18"/>
  <c r="C17"/>
  <c r="D16"/>
  <c r="D17"/>
  <c r="C20"/>
  <c r="C5"/>
  <c r="C21"/>
  <c r="D18"/>
  <c r="D19"/>
  <c r="C6"/>
  <c r="C22"/>
  <c r="D5"/>
  <c r="D20"/>
  <c r="C7"/>
  <c r="D21"/>
  <c r="C23"/>
  <c r="D6"/>
  <c r="C8"/>
  <c r="D22"/>
  <c r="D7"/>
  <c r="C24"/>
  <c r="C9"/>
  <c r="D23"/>
  <c r="D8"/>
  <c r="C25"/>
  <c r="C26"/>
  <c r="C10"/>
  <c r="D9"/>
  <c r="D24"/>
  <c r="C11"/>
  <c r="D25"/>
  <c r="D10"/>
  <c r="C12"/>
  <c r="D26"/>
  <c r="D11"/>
  <c r="C13"/>
  <c r="D12"/>
  <c r="C14"/>
  <c r="D13"/>
  <c r="C15"/>
  <c r="D14"/>
  <c r="D10" i="4"/>
  <c r="A10"/>
  <c r="B10"/>
  <c r="D9"/>
  <c r="A9"/>
  <c r="B9"/>
  <c r="D8"/>
  <c r="A8"/>
  <c r="B8"/>
  <c r="B1"/>
  <c r="T8"/>
  <c r="O8"/>
  <c r="D15" i="5"/>
  <c r="U9" i="4"/>
  <c r="Q9"/>
  <c r="M9"/>
  <c r="I9"/>
  <c r="E9"/>
  <c r="V9"/>
  <c r="R9"/>
  <c r="N9"/>
  <c r="F9"/>
  <c r="J9"/>
  <c r="W9"/>
  <c r="S9"/>
  <c r="O9"/>
  <c r="K9"/>
  <c r="G9"/>
  <c r="T9"/>
  <c r="P9"/>
  <c r="L9"/>
  <c r="H9"/>
  <c r="W10"/>
  <c r="S10"/>
  <c r="O10"/>
  <c r="K10"/>
  <c r="G10"/>
  <c r="P10"/>
  <c r="H10"/>
  <c r="T10"/>
  <c r="L10"/>
  <c r="U10"/>
  <c r="Q10"/>
  <c r="M10"/>
  <c r="I10"/>
  <c r="E10"/>
  <c r="R10"/>
  <c r="J10"/>
  <c r="F10"/>
  <c r="V10"/>
  <c r="N10"/>
  <c r="G8"/>
  <c r="K8"/>
  <c r="S8"/>
  <c r="W8"/>
  <c r="F8"/>
  <c r="J8"/>
  <c r="N8"/>
  <c r="R8"/>
  <c r="V8"/>
  <c r="E8"/>
  <c r="I8"/>
  <c r="M8"/>
  <c r="Q8"/>
  <c r="U8"/>
  <c r="H8"/>
  <c r="L8"/>
  <c r="P8"/>
</calcChain>
</file>

<file path=xl/sharedStrings.xml><?xml version="1.0" encoding="utf-8"?>
<sst xmlns="http://schemas.openxmlformats.org/spreadsheetml/2006/main" count="34" uniqueCount="14">
  <si>
    <t>Relative Amplitudes at radius =</t>
  </si>
  <si>
    <t>cm.</t>
  </si>
  <si>
    <t>Corr Amps</t>
  </si>
  <si>
    <t>Curr</t>
  </si>
  <si>
    <t>n = 2</t>
  </si>
  <si>
    <t>(amps)</t>
  </si>
  <si>
    <t xml:space="preserve"> </t>
  </si>
  <si>
    <t>(%)</t>
  </si>
  <si>
    <t>B'L</t>
  </si>
  <si>
    <t>Current (A)</t>
  </si>
  <si>
    <t xml:space="preserve">   </t>
  </si>
  <si>
    <t>Probe Radius</t>
  </si>
  <si>
    <t>Full Radius</t>
  </si>
  <si>
    <t>Pole Radius =</t>
  </si>
</sst>
</file>

<file path=xl/styles.xml><?xml version="1.0" encoding="utf-8"?>
<styleSheet xmlns="http://schemas.openxmlformats.org/spreadsheetml/2006/main">
  <numFmts count="5">
    <numFmt numFmtId="164" formatCode="0.000"/>
    <numFmt numFmtId="165" formatCode="\n\ \=\ 0"/>
    <numFmt numFmtId="166" formatCode="0.000%"/>
    <numFmt numFmtId="167" formatCode="0.0%"/>
    <numFmt numFmtId="168" formatCode="0.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36">
    <xf numFmtId="0" fontId="0" fillId="0" borderId="0" xfId="0"/>
    <xf numFmtId="0" fontId="2" fillId="2" borderId="0" xfId="2" applyFill="1" applyBorder="1"/>
    <xf numFmtId="0" fontId="3" fillId="2" borderId="1" xfId="2" applyFont="1" applyFill="1" applyBorder="1"/>
    <xf numFmtId="0" fontId="2" fillId="2" borderId="2" xfId="2" applyFill="1" applyBorder="1"/>
    <xf numFmtId="0" fontId="2" fillId="2" borderId="3" xfId="2" applyFill="1" applyBorder="1"/>
    <xf numFmtId="0" fontId="3" fillId="2" borderId="0" xfId="2" applyFont="1" applyFill="1" applyBorder="1"/>
    <xf numFmtId="164" fontId="3" fillId="2" borderId="2" xfId="2" applyNumberFormat="1" applyFont="1" applyFill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2" fillId="2" borderId="0" xfId="2" applyFont="1" applyFill="1" applyBorder="1"/>
    <xf numFmtId="164" fontId="3" fillId="2" borderId="0" xfId="2" applyNumberFormat="1" applyFont="1" applyFill="1" applyBorder="1" applyAlignment="1">
      <alignment horizontal="center"/>
    </xf>
    <xf numFmtId="0" fontId="3" fillId="2" borderId="0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165" fontId="3" fillId="2" borderId="4" xfId="2" applyNumberFormat="1" applyFont="1" applyFill="1" applyBorder="1" applyAlignment="1">
      <alignment horizontal="center"/>
    </xf>
    <xf numFmtId="0" fontId="2" fillId="3" borderId="4" xfId="2" applyFill="1" applyBorder="1"/>
    <xf numFmtId="166" fontId="2" fillId="3" borderId="4" xfId="3" applyNumberFormat="1" applyFill="1" applyBorder="1"/>
    <xf numFmtId="166" fontId="2" fillId="2" borderId="0" xfId="2" applyNumberFormat="1" applyFill="1" applyBorder="1"/>
    <xf numFmtId="166" fontId="2" fillId="2" borderId="0" xfId="3" applyNumberFormat="1" applyFill="1" applyBorder="1"/>
    <xf numFmtId="164" fontId="2" fillId="2" borderId="4" xfId="1" applyNumberFormat="1" applyFont="1" applyFill="1" applyBorder="1"/>
    <xf numFmtId="166" fontId="2" fillId="2" borderId="0" xfId="3" applyNumberFormat="1" applyFont="1" applyFill="1" applyBorder="1"/>
    <xf numFmtId="166" fontId="2" fillId="2" borderId="4" xfId="3" applyNumberFormat="1" applyFill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4" fillId="0" borderId="0" xfId="0" applyFont="1"/>
    <xf numFmtId="10" fontId="0" fillId="0" borderId="0" xfId="1" applyNumberFormat="1" applyFont="1"/>
    <xf numFmtId="10" fontId="0" fillId="0" borderId="0" xfId="0" applyNumberFormat="1"/>
    <xf numFmtId="1" fontId="0" fillId="0" borderId="0" xfId="0" applyNumberFormat="1"/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67" fontId="0" fillId="0" borderId="0" xfId="1" applyNumberFormat="1" applyFont="1"/>
    <xf numFmtId="168" fontId="2" fillId="3" borderId="4" xfId="2" applyNumberFormat="1" applyFill="1" applyBorder="1"/>
    <xf numFmtId="168" fontId="2" fillId="2" borderId="4" xfId="2" applyNumberFormat="1" applyFill="1" applyBorder="1"/>
    <xf numFmtId="168" fontId="2" fillId="2" borderId="4" xfId="1" applyNumberFormat="1" applyFont="1" applyFill="1" applyBorder="1"/>
    <xf numFmtId="168" fontId="2" fillId="2" borderId="0" xfId="2" applyNumberFormat="1" applyFill="1" applyBorder="1"/>
  </cellXfs>
  <cellStyles count="4">
    <cellStyle name="Normal" xfId="0" builtinId="0"/>
    <cellStyle name="Normal 2" xfId="2"/>
    <cellStyle name="Percent" xfId="1" builtinId="5"/>
    <cellStyle name="Percent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QO1H01</a:t>
            </a:r>
          </a:p>
          <a:p>
            <a:pPr>
              <a:defRPr/>
            </a:pPr>
            <a:r>
              <a:rPr lang="en-US" baseline="0"/>
              <a:t>Multipoles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'Harmonics P3A QO1H01'!$F$6:$W$6</c:f>
              <c:numCache>
                <c:formatCode>\n\ \=\ 0</c:formatCode>
                <c:ptCount val="1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</c:numCache>
            </c:numRef>
          </c:cat>
          <c:val>
            <c:numRef>
              <c:f>'Harmonics P3A QO1H01'!$F$8:$W$8</c:f>
              <c:numCache>
                <c:formatCode>0.000%</c:formatCode>
                <c:ptCount val="18"/>
                <c:pt idx="0">
                  <c:v>3.4872721733906641E-4</c:v>
                </c:pt>
                <c:pt idx="1">
                  <c:v>3.5221331233362769E-4</c:v>
                </c:pt>
                <c:pt idx="2">
                  <c:v>1.1400362576493817E-3</c:v>
                </c:pt>
                <c:pt idx="3">
                  <c:v>1.437582156975452E-2</c:v>
                </c:pt>
                <c:pt idx="4">
                  <c:v>1.2285613828674422E-4</c:v>
                </c:pt>
                <c:pt idx="5">
                  <c:v>2.1995985918905173E-5</c:v>
                </c:pt>
                <c:pt idx="6">
                  <c:v>6.8861569424981319E-5</c:v>
                </c:pt>
                <c:pt idx="7">
                  <c:v>5.5957611935554302E-4</c:v>
                </c:pt>
                <c:pt idx="8">
                  <c:v>1.6974951663411155E-5</c:v>
                </c:pt>
                <c:pt idx="9">
                  <c:v>1.7633620886554168E-5</c:v>
                </c:pt>
                <c:pt idx="10">
                  <c:v>2.148225749545397E-5</c:v>
                </c:pt>
                <c:pt idx="11">
                  <c:v>1.0479061198972809E-5</c:v>
                </c:pt>
                <c:pt idx="12">
                  <c:v>1.5675954487431585E-5</c:v>
                </c:pt>
                <c:pt idx="13">
                  <c:v>3.9537056330874526E-5</c:v>
                </c:pt>
                <c:pt idx="14">
                  <c:v>7.6479393631713648E-6</c:v>
                </c:pt>
                <c:pt idx="15">
                  <c:v>1.8025306163813619E-5</c:v>
                </c:pt>
                <c:pt idx="16">
                  <c:v>1.918537845446281E-5</c:v>
                </c:pt>
                <c:pt idx="17">
                  <c:v>4.938142253625137E-5</c:v>
                </c:pt>
              </c:numCache>
            </c:numRef>
          </c:val>
        </c:ser>
        <c:dLbls/>
        <c:gapWidth val="55"/>
        <c:overlap val="100"/>
        <c:axId val="58227328"/>
        <c:axId val="58233216"/>
      </c:barChart>
      <c:catAx>
        <c:axId val="58227328"/>
        <c:scaling>
          <c:orientation val="minMax"/>
        </c:scaling>
        <c:axPos val="b"/>
        <c:numFmt formatCode="\n\ \=\ 0" sourceLinked="1"/>
        <c:maj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233216"/>
        <c:crosses val="autoZero"/>
        <c:auto val="1"/>
        <c:lblAlgn val="ctr"/>
        <c:lblOffset val="100"/>
        <c:tickLblSkip val="1"/>
        <c:tickMarkSkip val="1"/>
      </c:catAx>
      <c:valAx>
        <c:axId val="58233216"/>
        <c:scaling>
          <c:logBase val="10"/>
          <c:orientation val="minMax"/>
          <c:max val="0.1"/>
          <c:min val="1.0000000000000202E-5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numFmt formatCode="0.000%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227328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11" r="0.75000000000000711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536574</xdr:colOff>
      <xdr:row>15</xdr:row>
      <xdr:rowOff>63500</xdr:rowOff>
    </xdr:from>
    <xdr:to>
      <xdr:col>13</xdr:col>
      <xdr:colOff>317500</xdr:colOff>
      <xdr:row>38</xdr:row>
      <xdr:rowOff>152400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gomez/Library/Mail%20Downloads/QO1H01%20Stretched%20Wire%2012-09-2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gomez/Library/Mail%20Downloads/QO1H01%20Rotating%20Coil%20Mea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eld Map"/>
      <sheetName val="+300A DATA"/>
      <sheetName val="0A Data"/>
      <sheetName val="-300A DATA"/>
    </sheetNames>
    <sheetDataSet>
      <sheetData sheetId="0" refreshError="1"/>
      <sheetData sheetId="1">
        <row r="31">
          <cell r="J31">
            <v>299.96199999999999</v>
          </cell>
          <cell r="S31">
            <v>46683.928852643425</v>
          </cell>
        </row>
        <row r="32">
          <cell r="J32">
            <v>269.964</v>
          </cell>
          <cell r="S32">
            <v>44123.969628796403</v>
          </cell>
        </row>
        <row r="33">
          <cell r="J33">
            <v>239.97</v>
          </cell>
          <cell r="S33">
            <v>40727.798087739036</v>
          </cell>
        </row>
        <row r="34">
          <cell r="J34">
            <v>209.97399999999999</v>
          </cell>
          <cell r="S34">
            <v>36447.106580427448</v>
          </cell>
        </row>
        <row r="35">
          <cell r="J35">
            <v>179.977</v>
          </cell>
          <cell r="S35">
            <v>31391.942350956135</v>
          </cell>
        </row>
        <row r="36">
          <cell r="J36">
            <v>149.97499999999999</v>
          </cell>
          <cell r="S36">
            <v>26310.373172103489</v>
          </cell>
        </row>
        <row r="37">
          <cell r="J37">
            <v>119.98</v>
          </cell>
          <cell r="S37">
            <v>21109.221034870639</v>
          </cell>
        </row>
        <row r="38">
          <cell r="J38">
            <v>89.986999999999995</v>
          </cell>
          <cell r="S38">
            <v>15877.751406074241</v>
          </cell>
        </row>
        <row r="39">
          <cell r="J39">
            <v>59.988999999999997</v>
          </cell>
          <cell r="S39">
            <v>10633.251687289088</v>
          </cell>
        </row>
        <row r="40">
          <cell r="J40">
            <v>29.992999999999999</v>
          </cell>
          <cell r="S40">
            <v>5361.8248031496059</v>
          </cell>
        </row>
        <row r="41">
          <cell r="J41">
            <v>1.99</v>
          </cell>
          <cell r="S41">
            <v>471.70191226096739</v>
          </cell>
        </row>
      </sheetData>
      <sheetData sheetId="2">
        <row r="21">
          <cell r="S21">
            <v>8.3416677649121567E-3</v>
          </cell>
        </row>
      </sheetData>
      <sheetData sheetId="3">
        <row r="31">
          <cell r="J31">
            <v>29.992999999999999</v>
          </cell>
          <cell r="S31">
            <v>-5148.3008998875148</v>
          </cell>
        </row>
        <row r="32">
          <cell r="J32">
            <v>59.991</v>
          </cell>
          <cell r="S32">
            <v>-10413.745500562431</v>
          </cell>
        </row>
        <row r="33">
          <cell r="J33">
            <v>89.989000000000004</v>
          </cell>
          <cell r="S33">
            <v>-15667.273340832395</v>
          </cell>
        </row>
        <row r="34">
          <cell r="J34">
            <v>119.98399999999999</v>
          </cell>
          <cell r="S34">
            <v>-20897.730033745782</v>
          </cell>
        </row>
        <row r="35">
          <cell r="J35">
            <v>149.98099999999999</v>
          </cell>
          <cell r="S35">
            <v>-26081.721878515185</v>
          </cell>
        </row>
        <row r="36">
          <cell r="J36">
            <v>179.97800000000001</v>
          </cell>
          <cell r="S36">
            <v>-31204.131889763779</v>
          </cell>
        </row>
        <row r="37">
          <cell r="J37">
            <v>209.976</v>
          </cell>
          <cell r="S37">
            <v>-36127.694319460068</v>
          </cell>
        </row>
        <row r="38">
          <cell r="J38">
            <v>239.976</v>
          </cell>
          <cell r="S38">
            <v>-40456.471034870636</v>
          </cell>
        </row>
        <row r="39">
          <cell r="J39">
            <v>269.97300000000001</v>
          </cell>
          <cell r="S39">
            <v>-43889.753374578177</v>
          </cell>
        </row>
        <row r="40">
          <cell r="J40">
            <v>299.964</v>
          </cell>
          <cell r="S40">
            <v>-46680.378233970754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ata P3A QO1H01 100A"/>
      <sheetName val="Data P3A QO1H01 200A"/>
      <sheetName val="Data P3A QO1H01 300A"/>
      <sheetName val="Harmonics P3A QO1H01"/>
      <sheetName val="300A Coil1"/>
      <sheetName val="300A Coil 3"/>
      <sheetName val="Sheet3"/>
      <sheetName val="Probe Params"/>
    </sheetNames>
    <sheetDataSet>
      <sheetData sheetId="0">
        <row r="2">
          <cell r="A2" t="str">
            <v>QO001014.fft</v>
          </cell>
        </row>
        <row r="3">
          <cell r="A3" t="str">
            <v>10-08-2012, 15:25:47</v>
          </cell>
        </row>
        <row r="22">
          <cell r="A22">
            <v>99.983000000000004</v>
          </cell>
          <cell r="D22">
            <v>44217.252999999997</v>
          </cell>
        </row>
        <row r="26">
          <cell r="E26">
            <v>8.7029999999999994</v>
          </cell>
          <cell r="F26">
            <v>6.5869999999999997</v>
          </cell>
          <cell r="G26">
            <v>22.632999999999999</v>
          </cell>
          <cell r="H26">
            <v>244.70099999999999</v>
          </cell>
          <cell r="I26">
            <v>1.9330000000000001</v>
          </cell>
          <cell r="J26">
            <v>0.308</v>
          </cell>
          <cell r="K26">
            <v>0.878</v>
          </cell>
          <cell r="L26">
            <v>6.4729999999999999</v>
          </cell>
          <cell r="M26">
            <v>0.18</v>
          </cell>
          <cell r="N26">
            <v>0.17199999999999999</v>
          </cell>
          <cell r="O26">
            <v>0.19400000000000001</v>
          </cell>
          <cell r="P26">
            <v>8.7999999999999995E-2</v>
          </cell>
          <cell r="Q26">
            <v>0.123</v>
          </cell>
          <cell r="R26">
            <v>0.29099999999999998</v>
          </cell>
          <cell r="S26">
            <v>5.2999999999999999E-2</v>
          </cell>
          <cell r="T26">
            <v>0.11799999999999999</v>
          </cell>
          <cell r="U26">
            <v>0.11899999999999999</v>
          </cell>
          <cell r="V26">
            <v>0.29099999999999998</v>
          </cell>
        </row>
      </sheetData>
      <sheetData sheetId="1">
        <row r="22">
          <cell r="A22">
            <v>199.97200000000001</v>
          </cell>
          <cell r="D22">
            <v>87505.65</v>
          </cell>
        </row>
        <row r="26">
          <cell r="E26">
            <v>17.100999999999999</v>
          </cell>
          <cell r="F26">
            <v>13.417</v>
          </cell>
          <cell r="G26">
            <v>45.421999999999997</v>
          </cell>
          <cell r="H26">
            <v>484.63799999999998</v>
          </cell>
          <cell r="I26">
            <v>3.621</v>
          </cell>
          <cell r="J26">
            <v>0.745</v>
          </cell>
          <cell r="K26">
            <v>1.8220000000000001</v>
          </cell>
          <cell r="L26">
            <v>12.734999999999999</v>
          </cell>
          <cell r="M26">
            <v>0.51300000000000001</v>
          </cell>
          <cell r="N26">
            <v>0.30099999999999999</v>
          </cell>
          <cell r="O26">
            <v>0.501</v>
          </cell>
          <cell r="P26">
            <v>0.29699999999999999</v>
          </cell>
          <cell r="Q26">
            <v>0.51300000000000001</v>
          </cell>
          <cell r="R26">
            <v>0.14599999999999999</v>
          </cell>
          <cell r="S26">
            <v>0.127</v>
          </cell>
          <cell r="T26">
            <v>0.128</v>
          </cell>
          <cell r="U26">
            <v>0.45</v>
          </cell>
          <cell r="V26">
            <v>0.42799999999999999</v>
          </cell>
        </row>
      </sheetData>
      <sheetData sheetId="2">
        <row r="22">
          <cell r="A22">
            <v>299.96300000000002</v>
          </cell>
          <cell r="D22">
            <v>118079.47100000001</v>
          </cell>
        </row>
        <row r="26">
          <cell r="E26">
            <v>23.334</v>
          </cell>
          <cell r="F26">
            <v>18.114999999999998</v>
          </cell>
          <cell r="G26">
            <v>61.277999999999999</v>
          </cell>
          <cell r="H26">
            <v>654.94100000000003</v>
          </cell>
          <cell r="I26">
            <v>5.23</v>
          </cell>
          <cell r="J26">
            <v>1.2110000000000001</v>
          </cell>
          <cell r="K26">
            <v>2.294</v>
          </cell>
          <cell r="L26">
            <v>17.248999999999999</v>
          </cell>
          <cell r="M26">
            <v>0.72199999999999998</v>
          </cell>
          <cell r="N26">
            <v>0.57899999999999996</v>
          </cell>
          <cell r="O26">
            <v>0.56100000000000005</v>
          </cell>
          <cell r="P26">
            <v>0.29199999999999998</v>
          </cell>
          <cell r="Q26">
            <v>0.35299999999999998</v>
          </cell>
          <cell r="R26">
            <v>0.114</v>
          </cell>
          <cell r="S26">
            <v>0.57099999999999995</v>
          </cell>
          <cell r="T26">
            <v>0.21199999999999999</v>
          </cell>
          <cell r="U26">
            <v>0.31900000000000001</v>
          </cell>
          <cell r="V26">
            <v>0.156</v>
          </cell>
        </row>
      </sheetData>
      <sheetData sheetId="3"/>
      <sheetData sheetId="4"/>
      <sheetData sheetId="5"/>
      <sheetData sheetId="6"/>
      <sheetData sheetId="7">
        <row r="26">
          <cell r="F26">
            <v>0.74984203622572154</v>
          </cell>
        </row>
        <row r="28">
          <cell r="G28">
            <v>0.63485685185747986</v>
          </cell>
          <cell r="H28">
            <v>0.63434423821422103</v>
          </cell>
          <cell r="I28">
            <v>0.84175997071690944</v>
          </cell>
          <cell r="J28">
            <v>0.86608560481624464</v>
          </cell>
          <cell r="K28">
            <v>0.93400935788485429</v>
          </cell>
          <cell r="L28">
            <v>0.95000777162561967</v>
          </cell>
          <cell r="M28">
            <v>0.97319908176899872</v>
          </cell>
          <cell r="N28">
            <v>0.98106935595963662</v>
          </cell>
          <cell r="O28">
            <v>0.98928543183058781</v>
          </cell>
          <cell r="P28">
            <v>0.99276134167908547</v>
          </cell>
          <cell r="Q28">
            <v>0.99575735327295123</v>
          </cell>
          <cell r="R28">
            <v>0.99721403689798038</v>
          </cell>
          <cell r="S28">
            <v>0.99833000144621775</v>
          </cell>
          <cell r="T28">
            <v>0.998923155066617</v>
          </cell>
          <cell r="U28">
            <v>0.9993451039767679</v>
          </cell>
          <cell r="V28">
            <v>0.9995826066093515</v>
          </cell>
          <cell r="W28">
            <v>0.9997437872303615</v>
          </cell>
          <cell r="X28">
            <v>0.99983792118481141</v>
          </cell>
        </row>
        <row r="29">
          <cell r="B29">
            <v>3.6989004000000003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4:I33"/>
  <sheetViews>
    <sheetView workbookViewId="0">
      <selection activeCell="F34" sqref="F34"/>
    </sheetView>
  </sheetViews>
  <sheetFormatPr defaultColWidth="8.85546875" defaultRowHeight="15"/>
  <cols>
    <col min="3" max="3" width="10.42578125" customWidth="1"/>
    <col min="4" max="4" width="12.7109375" bestFit="1" customWidth="1"/>
  </cols>
  <sheetData>
    <row r="4" spans="3:7">
      <c r="C4" s="28" t="s">
        <v>9</v>
      </c>
      <c r="D4" s="28" t="s">
        <v>8</v>
      </c>
    </row>
    <row r="5" spans="3:7">
      <c r="C5" s="29">
        <f>'[1]+300A DATA'!J31</f>
        <v>299.96199999999999</v>
      </c>
      <c r="D5" s="30">
        <f>'[1]+300A DATA'!S31</f>
        <v>46683.928852643425</v>
      </c>
      <c r="G5" s="31"/>
    </row>
    <row r="6" spans="3:7">
      <c r="C6" s="29">
        <f>'[1]+300A DATA'!J32</f>
        <v>269.964</v>
      </c>
      <c r="D6" s="30">
        <f>'[1]+300A DATA'!S32</f>
        <v>44123.969628796403</v>
      </c>
    </row>
    <row r="7" spans="3:7">
      <c r="C7" s="29">
        <f>'[1]+300A DATA'!J33</f>
        <v>239.97</v>
      </c>
      <c r="D7" s="30">
        <f>'[1]+300A DATA'!S33</f>
        <v>40727.798087739036</v>
      </c>
    </row>
    <row r="8" spans="3:7">
      <c r="C8" s="29">
        <f>'[1]+300A DATA'!J34</f>
        <v>209.97399999999999</v>
      </c>
      <c r="D8" s="30">
        <f>'[1]+300A DATA'!S34</f>
        <v>36447.106580427448</v>
      </c>
    </row>
    <row r="9" spans="3:7">
      <c r="C9" s="29">
        <f>'[1]+300A DATA'!J35</f>
        <v>179.977</v>
      </c>
      <c r="D9" s="30">
        <f>'[1]+300A DATA'!S35</f>
        <v>31391.942350956135</v>
      </c>
    </row>
    <row r="10" spans="3:7">
      <c r="C10" s="29">
        <f>'[1]+300A DATA'!J36</f>
        <v>149.97499999999999</v>
      </c>
      <c r="D10" s="30">
        <f>'[1]+300A DATA'!S36</f>
        <v>26310.373172103489</v>
      </c>
    </row>
    <row r="11" spans="3:7">
      <c r="C11" s="29">
        <f>'[1]+300A DATA'!J37</f>
        <v>119.98</v>
      </c>
      <c r="D11" s="30">
        <f>'[1]+300A DATA'!S37</f>
        <v>21109.221034870639</v>
      </c>
    </row>
    <row r="12" spans="3:7">
      <c r="C12" s="29">
        <f>'[1]+300A DATA'!J38</f>
        <v>89.986999999999995</v>
      </c>
      <c r="D12" s="30">
        <f>'[1]+300A DATA'!S38</f>
        <v>15877.751406074241</v>
      </c>
    </row>
    <row r="13" spans="3:7">
      <c r="C13" s="29">
        <f>'[1]+300A DATA'!J39</f>
        <v>59.988999999999997</v>
      </c>
      <c r="D13" s="30">
        <f>'[1]+300A DATA'!S39</f>
        <v>10633.251687289088</v>
      </c>
    </row>
    <row r="14" spans="3:7">
      <c r="C14" s="29">
        <f>'[1]+300A DATA'!J40</f>
        <v>29.992999999999999</v>
      </c>
      <c r="D14" s="30">
        <f>'[1]+300A DATA'!S40</f>
        <v>5361.8248031496059</v>
      </c>
    </row>
    <row r="15" spans="3:7">
      <c r="C15" s="29">
        <f>'[1]+300A DATA'!J41</f>
        <v>1.99</v>
      </c>
      <c r="D15" s="30">
        <f>'[1]+300A DATA'!S41</f>
        <v>471.70191226096739</v>
      </c>
    </row>
    <row r="16" spans="3:7">
      <c r="C16" s="29">
        <f>'[1]+300A DATA'!J42</f>
        <v>0</v>
      </c>
      <c r="D16" s="29">
        <f>'[1]0A Data'!S21</f>
        <v>8.3416677649121567E-3</v>
      </c>
    </row>
    <row r="17" spans="3:4">
      <c r="C17" s="29">
        <f>-'[1]-300A DATA'!J31</f>
        <v>-29.992999999999999</v>
      </c>
      <c r="D17" s="30">
        <f>'[1]-300A DATA'!S31</f>
        <v>-5148.3008998875148</v>
      </c>
    </row>
    <row r="18" spans="3:4">
      <c r="C18" s="29">
        <f>-'[1]-300A DATA'!J32</f>
        <v>-59.991</v>
      </c>
      <c r="D18" s="30">
        <f>'[1]-300A DATA'!S32</f>
        <v>-10413.745500562431</v>
      </c>
    </row>
    <row r="19" spans="3:4">
      <c r="C19" s="29">
        <f>-'[1]-300A DATA'!J33</f>
        <v>-89.989000000000004</v>
      </c>
      <c r="D19" s="30">
        <f>'[1]-300A DATA'!S33</f>
        <v>-15667.273340832395</v>
      </c>
    </row>
    <row r="20" spans="3:4">
      <c r="C20" s="29">
        <f>-'[1]-300A DATA'!J34</f>
        <v>-119.98399999999999</v>
      </c>
      <c r="D20" s="30">
        <f>'[1]-300A DATA'!S34</f>
        <v>-20897.730033745782</v>
      </c>
    </row>
    <row r="21" spans="3:4">
      <c r="C21" s="29">
        <f>-'[1]-300A DATA'!J35</f>
        <v>-149.98099999999999</v>
      </c>
      <c r="D21" s="30">
        <f>'[1]-300A DATA'!S35</f>
        <v>-26081.721878515185</v>
      </c>
    </row>
    <row r="22" spans="3:4">
      <c r="C22" s="29">
        <f>-'[1]-300A DATA'!J36</f>
        <v>-179.97800000000001</v>
      </c>
      <c r="D22" s="30">
        <f>'[1]-300A DATA'!S36</f>
        <v>-31204.131889763779</v>
      </c>
    </row>
    <row r="23" spans="3:4">
      <c r="C23" s="29">
        <f>-'[1]-300A DATA'!J37</f>
        <v>-209.976</v>
      </c>
      <c r="D23" s="30">
        <f>'[1]-300A DATA'!S37</f>
        <v>-36127.694319460068</v>
      </c>
    </row>
    <row r="24" spans="3:4">
      <c r="C24" s="29">
        <f>-'[1]-300A DATA'!J38</f>
        <v>-239.976</v>
      </c>
      <c r="D24" s="30">
        <f>'[1]-300A DATA'!S38</f>
        <v>-40456.471034870636</v>
      </c>
    </row>
    <row r="25" spans="3:4">
      <c r="C25" s="29">
        <f>-'[1]-300A DATA'!J39</f>
        <v>-269.97300000000001</v>
      </c>
      <c r="D25" s="30">
        <f>'[1]-300A DATA'!S39</f>
        <v>-43889.753374578177</v>
      </c>
    </row>
    <row r="26" spans="3:4">
      <c r="C26" s="29">
        <f>-'[1]-300A DATA'!J40</f>
        <v>-299.964</v>
      </c>
      <c r="D26" s="30">
        <f>'[1]-300A DATA'!S40</f>
        <v>-46680.378233970754</v>
      </c>
    </row>
    <row r="33" spans="9:9">
      <c r="I33" t="s">
        <v>10</v>
      </c>
    </row>
  </sheetData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B55"/>
  <sheetViews>
    <sheetView tabSelected="1" zoomScale="75" workbookViewId="0">
      <selection activeCell="D45" sqref="D45"/>
    </sheetView>
  </sheetViews>
  <sheetFormatPr defaultColWidth="8.85546875" defaultRowHeight="12.75"/>
  <cols>
    <col min="1" max="1" width="8.85546875" style="1"/>
    <col min="2" max="2" width="11.42578125" style="1" customWidth="1"/>
    <col min="3" max="3" width="4.42578125" style="1" customWidth="1"/>
    <col min="4" max="4" width="9.7109375" style="1" bestFit="1" customWidth="1"/>
    <col min="5" max="5" width="11.28515625" style="1" customWidth="1"/>
    <col min="6" max="6" width="10.28515625" style="1" bestFit="1" customWidth="1"/>
    <col min="7" max="7" width="9.7109375" style="1" bestFit="1" customWidth="1"/>
    <col min="8" max="8" width="10" style="1" customWidth="1"/>
    <col min="9" max="20" width="9.7109375" style="1" bestFit="1" customWidth="1"/>
    <col min="21" max="27" width="8.85546875" style="1"/>
    <col min="28" max="28" width="13.140625" style="1" bestFit="1" customWidth="1"/>
    <col min="29" max="257" width="8.85546875" style="1"/>
    <col min="258" max="258" width="11.42578125" style="1" customWidth="1"/>
    <col min="259" max="259" width="4.42578125" style="1" customWidth="1"/>
    <col min="260" max="283" width="8.85546875" style="1"/>
    <col min="284" max="284" width="13.140625" style="1" bestFit="1" customWidth="1"/>
    <col min="285" max="513" width="8.85546875" style="1"/>
    <col min="514" max="514" width="11.42578125" style="1" customWidth="1"/>
    <col min="515" max="515" width="4.42578125" style="1" customWidth="1"/>
    <col min="516" max="539" width="8.85546875" style="1"/>
    <col min="540" max="540" width="13.140625" style="1" bestFit="1" customWidth="1"/>
    <col min="541" max="769" width="8.85546875" style="1"/>
    <col min="770" max="770" width="11.42578125" style="1" customWidth="1"/>
    <col min="771" max="771" width="4.42578125" style="1" customWidth="1"/>
    <col min="772" max="795" width="8.85546875" style="1"/>
    <col min="796" max="796" width="13.140625" style="1" bestFit="1" customWidth="1"/>
    <col min="797" max="1025" width="8.85546875" style="1"/>
    <col min="1026" max="1026" width="11.42578125" style="1" customWidth="1"/>
    <col min="1027" max="1027" width="4.42578125" style="1" customWidth="1"/>
    <col min="1028" max="1051" width="8.85546875" style="1"/>
    <col min="1052" max="1052" width="13.140625" style="1" bestFit="1" customWidth="1"/>
    <col min="1053" max="1281" width="8.85546875" style="1"/>
    <col min="1282" max="1282" width="11.42578125" style="1" customWidth="1"/>
    <col min="1283" max="1283" width="4.42578125" style="1" customWidth="1"/>
    <col min="1284" max="1307" width="8.85546875" style="1"/>
    <col min="1308" max="1308" width="13.140625" style="1" bestFit="1" customWidth="1"/>
    <col min="1309" max="1537" width="8.85546875" style="1"/>
    <col min="1538" max="1538" width="11.42578125" style="1" customWidth="1"/>
    <col min="1539" max="1539" width="4.42578125" style="1" customWidth="1"/>
    <col min="1540" max="1563" width="8.85546875" style="1"/>
    <col min="1564" max="1564" width="13.140625" style="1" bestFit="1" customWidth="1"/>
    <col min="1565" max="1793" width="8.85546875" style="1"/>
    <col min="1794" max="1794" width="11.42578125" style="1" customWidth="1"/>
    <col min="1795" max="1795" width="4.42578125" style="1" customWidth="1"/>
    <col min="1796" max="1819" width="8.85546875" style="1"/>
    <col min="1820" max="1820" width="13.140625" style="1" bestFit="1" customWidth="1"/>
    <col min="1821" max="2049" width="8.85546875" style="1"/>
    <col min="2050" max="2050" width="11.42578125" style="1" customWidth="1"/>
    <col min="2051" max="2051" width="4.42578125" style="1" customWidth="1"/>
    <col min="2052" max="2075" width="8.85546875" style="1"/>
    <col min="2076" max="2076" width="13.140625" style="1" bestFit="1" customWidth="1"/>
    <col min="2077" max="2305" width="8.85546875" style="1"/>
    <col min="2306" max="2306" width="11.42578125" style="1" customWidth="1"/>
    <col min="2307" max="2307" width="4.42578125" style="1" customWidth="1"/>
    <col min="2308" max="2331" width="8.85546875" style="1"/>
    <col min="2332" max="2332" width="13.140625" style="1" bestFit="1" customWidth="1"/>
    <col min="2333" max="2561" width="8.85546875" style="1"/>
    <col min="2562" max="2562" width="11.42578125" style="1" customWidth="1"/>
    <col min="2563" max="2563" width="4.42578125" style="1" customWidth="1"/>
    <col min="2564" max="2587" width="8.85546875" style="1"/>
    <col min="2588" max="2588" width="13.140625" style="1" bestFit="1" customWidth="1"/>
    <col min="2589" max="2817" width="8.85546875" style="1"/>
    <col min="2818" max="2818" width="11.42578125" style="1" customWidth="1"/>
    <col min="2819" max="2819" width="4.42578125" style="1" customWidth="1"/>
    <col min="2820" max="2843" width="8.85546875" style="1"/>
    <col min="2844" max="2844" width="13.140625" style="1" bestFit="1" customWidth="1"/>
    <col min="2845" max="3073" width="8.85546875" style="1"/>
    <col min="3074" max="3074" width="11.42578125" style="1" customWidth="1"/>
    <col min="3075" max="3075" width="4.42578125" style="1" customWidth="1"/>
    <col min="3076" max="3099" width="8.85546875" style="1"/>
    <col min="3100" max="3100" width="13.140625" style="1" bestFit="1" customWidth="1"/>
    <col min="3101" max="3329" width="8.85546875" style="1"/>
    <col min="3330" max="3330" width="11.42578125" style="1" customWidth="1"/>
    <col min="3331" max="3331" width="4.42578125" style="1" customWidth="1"/>
    <col min="3332" max="3355" width="8.85546875" style="1"/>
    <col min="3356" max="3356" width="13.140625" style="1" bestFit="1" customWidth="1"/>
    <col min="3357" max="3585" width="8.85546875" style="1"/>
    <col min="3586" max="3586" width="11.42578125" style="1" customWidth="1"/>
    <col min="3587" max="3587" width="4.42578125" style="1" customWidth="1"/>
    <col min="3588" max="3611" width="8.85546875" style="1"/>
    <col min="3612" max="3612" width="13.140625" style="1" bestFit="1" customWidth="1"/>
    <col min="3613" max="3841" width="8.85546875" style="1"/>
    <col min="3842" max="3842" width="11.42578125" style="1" customWidth="1"/>
    <col min="3843" max="3843" width="4.42578125" style="1" customWidth="1"/>
    <col min="3844" max="3867" width="8.85546875" style="1"/>
    <col min="3868" max="3868" width="13.140625" style="1" bestFit="1" customWidth="1"/>
    <col min="3869" max="4097" width="8.85546875" style="1"/>
    <col min="4098" max="4098" width="11.42578125" style="1" customWidth="1"/>
    <col min="4099" max="4099" width="4.42578125" style="1" customWidth="1"/>
    <col min="4100" max="4123" width="8.85546875" style="1"/>
    <col min="4124" max="4124" width="13.140625" style="1" bestFit="1" customWidth="1"/>
    <col min="4125" max="4353" width="8.85546875" style="1"/>
    <col min="4354" max="4354" width="11.42578125" style="1" customWidth="1"/>
    <col min="4355" max="4355" width="4.42578125" style="1" customWidth="1"/>
    <col min="4356" max="4379" width="8.85546875" style="1"/>
    <col min="4380" max="4380" width="13.140625" style="1" bestFit="1" customWidth="1"/>
    <col min="4381" max="4609" width="8.85546875" style="1"/>
    <col min="4610" max="4610" width="11.42578125" style="1" customWidth="1"/>
    <col min="4611" max="4611" width="4.42578125" style="1" customWidth="1"/>
    <col min="4612" max="4635" width="8.85546875" style="1"/>
    <col min="4636" max="4636" width="13.140625" style="1" bestFit="1" customWidth="1"/>
    <col min="4637" max="4865" width="8.85546875" style="1"/>
    <col min="4866" max="4866" width="11.42578125" style="1" customWidth="1"/>
    <col min="4867" max="4867" width="4.42578125" style="1" customWidth="1"/>
    <col min="4868" max="4891" width="8.85546875" style="1"/>
    <col min="4892" max="4892" width="13.140625" style="1" bestFit="1" customWidth="1"/>
    <col min="4893" max="5121" width="8.85546875" style="1"/>
    <col min="5122" max="5122" width="11.42578125" style="1" customWidth="1"/>
    <col min="5123" max="5123" width="4.42578125" style="1" customWidth="1"/>
    <col min="5124" max="5147" width="8.85546875" style="1"/>
    <col min="5148" max="5148" width="13.140625" style="1" bestFit="1" customWidth="1"/>
    <col min="5149" max="5377" width="8.85546875" style="1"/>
    <col min="5378" max="5378" width="11.42578125" style="1" customWidth="1"/>
    <col min="5379" max="5379" width="4.42578125" style="1" customWidth="1"/>
    <col min="5380" max="5403" width="8.85546875" style="1"/>
    <col min="5404" max="5404" width="13.140625" style="1" bestFit="1" customWidth="1"/>
    <col min="5405" max="5633" width="8.85546875" style="1"/>
    <col min="5634" max="5634" width="11.42578125" style="1" customWidth="1"/>
    <col min="5635" max="5635" width="4.42578125" style="1" customWidth="1"/>
    <col min="5636" max="5659" width="8.85546875" style="1"/>
    <col min="5660" max="5660" width="13.140625" style="1" bestFit="1" customWidth="1"/>
    <col min="5661" max="5889" width="8.85546875" style="1"/>
    <col min="5890" max="5890" width="11.42578125" style="1" customWidth="1"/>
    <col min="5891" max="5891" width="4.42578125" style="1" customWidth="1"/>
    <col min="5892" max="5915" width="8.85546875" style="1"/>
    <col min="5916" max="5916" width="13.140625" style="1" bestFit="1" customWidth="1"/>
    <col min="5917" max="6145" width="8.85546875" style="1"/>
    <col min="6146" max="6146" width="11.42578125" style="1" customWidth="1"/>
    <col min="6147" max="6147" width="4.42578125" style="1" customWidth="1"/>
    <col min="6148" max="6171" width="8.85546875" style="1"/>
    <col min="6172" max="6172" width="13.140625" style="1" bestFit="1" customWidth="1"/>
    <col min="6173" max="6401" width="8.85546875" style="1"/>
    <col min="6402" max="6402" width="11.42578125" style="1" customWidth="1"/>
    <col min="6403" max="6403" width="4.42578125" style="1" customWidth="1"/>
    <col min="6404" max="6427" width="8.85546875" style="1"/>
    <col min="6428" max="6428" width="13.140625" style="1" bestFit="1" customWidth="1"/>
    <col min="6429" max="6657" width="8.85546875" style="1"/>
    <col min="6658" max="6658" width="11.42578125" style="1" customWidth="1"/>
    <col min="6659" max="6659" width="4.42578125" style="1" customWidth="1"/>
    <col min="6660" max="6683" width="8.85546875" style="1"/>
    <col min="6684" max="6684" width="13.140625" style="1" bestFit="1" customWidth="1"/>
    <col min="6685" max="6913" width="8.85546875" style="1"/>
    <col min="6914" max="6914" width="11.42578125" style="1" customWidth="1"/>
    <col min="6915" max="6915" width="4.42578125" style="1" customWidth="1"/>
    <col min="6916" max="6939" width="8.85546875" style="1"/>
    <col min="6940" max="6940" width="13.140625" style="1" bestFit="1" customWidth="1"/>
    <col min="6941" max="7169" width="8.85546875" style="1"/>
    <col min="7170" max="7170" width="11.42578125" style="1" customWidth="1"/>
    <col min="7171" max="7171" width="4.42578125" style="1" customWidth="1"/>
    <col min="7172" max="7195" width="8.85546875" style="1"/>
    <col min="7196" max="7196" width="13.140625" style="1" bestFit="1" customWidth="1"/>
    <col min="7197" max="7425" width="8.85546875" style="1"/>
    <col min="7426" max="7426" width="11.42578125" style="1" customWidth="1"/>
    <col min="7427" max="7427" width="4.42578125" style="1" customWidth="1"/>
    <col min="7428" max="7451" width="8.85546875" style="1"/>
    <col min="7452" max="7452" width="13.140625" style="1" bestFit="1" customWidth="1"/>
    <col min="7453" max="7681" width="8.85546875" style="1"/>
    <col min="7682" max="7682" width="11.42578125" style="1" customWidth="1"/>
    <col min="7683" max="7683" width="4.42578125" style="1" customWidth="1"/>
    <col min="7684" max="7707" width="8.85546875" style="1"/>
    <col min="7708" max="7708" width="13.140625" style="1" bestFit="1" customWidth="1"/>
    <col min="7709" max="7937" width="8.85546875" style="1"/>
    <col min="7938" max="7938" width="11.42578125" style="1" customWidth="1"/>
    <col min="7939" max="7939" width="4.42578125" style="1" customWidth="1"/>
    <col min="7940" max="7963" width="8.85546875" style="1"/>
    <col min="7964" max="7964" width="13.140625" style="1" bestFit="1" customWidth="1"/>
    <col min="7965" max="8193" width="8.85546875" style="1"/>
    <col min="8194" max="8194" width="11.42578125" style="1" customWidth="1"/>
    <col min="8195" max="8195" width="4.42578125" style="1" customWidth="1"/>
    <col min="8196" max="8219" width="8.85546875" style="1"/>
    <col min="8220" max="8220" width="13.140625" style="1" bestFit="1" customWidth="1"/>
    <col min="8221" max="8449" width="8.85546875" style="1"/>
    <col min="8450" max="8450" width="11.42578125" style="1" customWidth="1"/>
    <col min="8451" max="8451" width="4.42578125" style="1" customWidth="1"/>
    <col min="8452" max="8475" width="8.85546875" style="1"/>
    <col min="8476" max="8476" width="13.140625" style="1" bestFit="1" customWidth="1"/>
    <col min="8477" max="8705" width="8.85546875" style="1"/>
    <col min="8706" max="8706" width="11.42578125" style="1" customWidth="1"/>
    <col min="8707" max="8707" width="4.42578125" style="1" customWidth="1"/>
    <col min="8708" max="8731" width="8.85546875" style="1"/>
    <col min="8732" max="8732" width="13.140625" style="1" bestFit="1" customWidth="1"/>
    <col min="8733" max="8961" width="8.85546875" style="1"/>
    <col min="8962" max="8962" width="11.42578125" style="1" customWidth="1"/>
    <col min="8963" max="8963" width="4.42578125" style="1" customWidth="1"/>
    <col min="8964" max="8987" width="8.85546875" style="1"/>
    <col min="8988" max="8988" width="13.140625" style="1" bestFit="1" customWidth="1"/>
    <col min="8989" max="9217" width="8.85546875" style="1"/>
    <col min="9218" max="9218" width="11.42578125" style="1" customWidth="1"/>
    <col min="9219" max="9219" width="4.42578125" style="1" customWidth="1"/>
    <col min="9220" max="9243" width="8.85546875" style="1"/>
    <col min="9244" max="9244" width="13.140625" style="1" bestFit="1" customWidth="1"/>
    <col min="9245" max="9473" width="8.85546875" style="1"/>
    <col min="9474" max="9474" width="11.42578125" style="1" customWidth="1"/>
    <col min="9475" max="9475" width="4.42578125" style="1" customWidth="1"/>
    <col min="9476" max="9499" width="8.85546875" style="1"/>
    <col min="9500" max="9500" width="13.140625" style="1" bestFit="1" customWidth="1"/>
    <col min="9501" max="9729" width="8.85546875" style="1"/>
    <col min="9730" max="9730" width="11.42578125" style="1" customWidth="1"/>
    <col min="9731" max="9731" width="4.42578125" style="1" customWidth="1"/>
    <col min="9732" max="9755" width="8.85546875" style="1"/>
    <col min="9756" max="9756" width="13.140625" style="1" bestFit="1" customWidth="1"/>
    <col min="9757" max="9985" width="8.85546875" style="1"/>
    <col min="9986" max="9986" width="11.42578125" style="1" customWidth="1"/>
    <col min="9987" max="9987" width="4.42578125" style="1" customWidth="1"/>
    <col min="9988" max="10011" width="8.85546875" style="1"/>
    <col min="10012" max="10012" width="13.140625" style="1" bestFit="1" customWidth="1"/>
    <col min="10013" max="10241" width="8.85546875" style="1"/>
    <col min="10242" max="10242" width="11.42578125" style="1" customWidth="1"/>
    <col min="10243" max="10243" width="4.42578125" style="1" customWidth="1"/>
    <col min="10244" max="10267" width="8.85546875" style="1"/>
    <col min="10268" max="10268" width="13.140625" style="1" bestFit="1" customWidth="1"/>
    <col min="10269" max="10497" width="8.85546875" style="1"/>
    <col min="10498" max="10498" width="11.42578125" style="1" customWidth="1"/>
    <col min="10499" max="10499" width="4.42578125" style="1" customWidth="1"/>
    <col min="10500" max="10523" width="8.85546875" style="1"/>
    <col min="10524" max="10524" width="13.140625" style="1" bestFit="1" customWidth="1"/>
    <col min="10525" max="10753" width="8.85546875" style="1"/>
    <col min="10754" max="10754" width="11.42578125" style="1" customWidth="1"/>
    <col min="10755" max="10755" width="4.42578125" style="1" customWidth="1"/>
    <col min="10756" max="10779" width="8.85546875" style="1"/>
    <col min="10780" max="10780" width="13.140625" style="1" bestFit="1" customWidth="1"/>
    <col min="10781" max="11009" width="8.85546875" style="1"/>
    <col min="11010" max="11010" width="11.42578125" style="1" customWidth="1"/>
    <col min="11011" max="11011" width="4.42578125" style="1" customWidth="1"/>
    <col min="11012" max="11035" width="8.85546875" style="1"/>
    <col min="11036" max="11036" width="13.140625" style="1" bestFit="1" customWidth="1"/>
    <col min="11037" max="11265" width="8.85546875" style="1"/>
    <col min="11266" max="11266" width="11.42578125" style="1" customWidth="1"/>
    <col min="11267" max="11267" width="4.42578125" style="1" customWidth="1"/>
    <col min="11268" max="11291" width="8.85546875" style="1"/>
    <col min="11292" max="11292" width="13.140625" style="1" bestFit="1" customWidth="1"/>
    <col min="11293" max="11521" width="8.85546875" style="1"/>
    <col min="11522" max="11522" width="11.42578125" style="1" customWidth="1"/>
    <col min="11523" max="11523" width="4.42578125" style="1" customWidth="1"/>
    <col min="11524" max="11547" width="8.85546875" style="1"/>
    <col min="11548" max="11548" width="13.140625" style="1" bestFit="1" customWidth="1"/>
    <col min="11549" max="11777" width="8.85546875" style="1"/>
    <col min="11778" max="11778" width="11.42578125" style="1" customWidth="1"/>
    <col min="11779" max="11779" width="4.42578125" style="1" customWidth="1"/>
    <col min="11780" max="11803" width="8.85546875" style="1"/>
    <col min="11804" max="11804" width="13.140625" style="1" bestFit="1" customWidth="1"/>
    <col min="11805" max="12033" width="8.85546875" style="1"/>
    <col min="12034" max="12034" width="11.42578125" style="1" customWidth="1"/>
    <col min="12035" max="12035" width="4.42578125" style="1" customWidth="1"/>
    <col min="12036" max="12059" width="8.85546875" style="1"/>
    <col min="12060" max="12060" width="13.140625" style="1" bestFit="1" customWidth="1"/>
    <col min="12061" max="12289" width="8.85546875" style="1"/>
    <col min="12290" max="12290" width="11.42578125" style="1" customWidth="1"/>
    <col min="12291" max="12291" width="4.42578125" style="1" customWidth="1"/>
    <col min="12292" max="12315" width="8.85546875" style="1"/>
    <col min="12316" max="12316" width="13.140625" style="1" bestFit="1" customWidth="1"/>
    <col min="12317" max="12545" width="8.85546875" style="1"/>
    <col min="12546" max="12546" width="11.42578125" style="1" customWidth="1"/>
    <col min="12547" max="12547" width="4.42578125" style="1" customWidth="1"/>
    <col min="12548" max="12571" width="8.85546875" style="1"/>
    <col min="12572" max="12572" width="13.140625" style="1" bestFit="1" customWidth="1"/>
    <col min="12573" max="12801" width="8.85546875" style="1"/>
    <col min="12802" max="12802" width="11.42578125" style="1" customWidth="1"/>
    <col min="12803" max="12803" width="4.42578125" style="1" customWidth="1"/>
    <col min="12804" max="12827" width="8.85546875" style="1"/>
    <col min="12828" max="12828" width="13.140625" style="1" bestFit="1" customWidth="1"/>
    <col min="12829" max="13057" width="8.85546875" style="1"/>
    <col min="13058" max="13058" width="11.42578125" style="1" customWidth="1"/>
    <col min="13059" max="13059" width="4.42578125" style="1" customWidth="1"/>
    <col min="13060" max="13083" width="8.85546875" style="1"/>
    <col min="13084" max="13084" width="13.140625" style="1" bestFit="1" customWidth="1"/>
    <col min="13085" max="13313" width="8.85546875" style="1"/>
    <col min="13314" max="13314" width="11.42578125" style="1" customWidth="1"/>
    <col min="13315" max="13315" width="4.42578125" style="1" customWidth="1"/>
    <col min="13316" max="13339" width="8.85546875" style="1"/>
    <col min="13340" max="13340" width="13.140625" style="1" bestFit="1" customWidth="1"/>
    <col min="13341" max="13569" width="8.85546875" style="1"/>
    <col min="13570" max="13570" width="11.42578125" style="1" customWidth="1"/>
    <col min="13571" max="13571" width="4.42578125" style="1" customWidth="1"/>
    <col min="13572" max="13595" width="8.85546875" style="1"/>
    <col min="13596" max="13596" width="13.140625" style="1" bestFit="1" customWidth="1"/>
    <col min="13597" max="13825" width="8.85546875" style="1"/>
    <col min="13826" max="13826" width="11.42578125" style="1" customWidth="1"/>
    <col min="13827" max="13827" width="4.42578125" style="1" customWidth="1"/>
    <col min="13828" max="13851" width="8.85546875" style="1"/>
    <col min="13852" max="13852" width="13.140625" style="1" bestFit="1" customWidth="1"/>
    <col min="13853" max="14081" width="8.85546875" style="1"/>
    <col min="14082" max="14082" width="11.42578125" style="1" customWidth="1"/>
    <col min="14083" max="14083" width="4.42578125" style="1" customWidth="1"/>
    <col min="14084" max="14107" width="8.85546875" style="1"/>
    <col min="14108" max="14108" width="13.140625" style="1" bestFit="1" customWidth="1"/>
    <col min="14109" max="14337" width="8.85546875" style="1"/>
    <col min="14338" max="14338" width="11.42578125" style="1" customWidth="1"/>
    <col min="14339" max="14339" width="4.42578125" style="1" customWidth="1"/>
    <col min="14340" max="14363" width="8.85546875" style="1"/>
    <col min="14364" max="14364" width="13.140625" style="1" bestFit="1" customWidth="1"/>
    <col min="14365" max="14593" width="8.85546875" style="1"/>
    <col min="14594" max="14594" width="11.42578125" style="1" customWidth="1"/>
    <col min="14595" max="14595" width="4.42578125" style="1" customWidth="1"/>
    <col min="14596" max="14619" width="8.85546875" style="1"/>
    <col min="14620" max="14620" width="13.140625" style="1" bestFit="1" customWidth="1"/>
    <col min="14621" max="14849" width="8.85546875" style="1"/>
    <col min="14850" max="14850" width="11.42578125" style="1" customWidth="1"/>
    <col min="14851" max="14851" width="4.42578125" style="1" customWidth="1"/>
    <col min="14852" max="14875" width="8.85546875" style="1"/>
    <col min="14876" max="14876" width="13.140625" style="1" bestFit="1" customWidth="1"/>
    <col min="14877" max="15105" width="8.85546875" style="1"/>
    <col min="15106" max="15106" width="11.42578125" style="1" customWidth="1"/>
    <col min="15107" max="15107" width="4.42578125" style="1" customWidth="1"/>
    <col min="15108" max="15131" width="8.85546875" style="1"/>
    <col min="15132" max="15132" width="13.140625" style="1" bestFit="1" customWidth="1"/>
    <col min="15133" max="15361" width="8.85546875" style="1"/>
    <col min="15362" max="15362" width="11.42578125" style="1" customWidth="1"/>
    <col min="15363" max="15363" width="4.42578125" style="1" customWidth="1"/>
    <col min="15364" max="15387" width="8.85546875" style="1"/>
    <col min="15388" max="15388" width="13.140625" style="1" bestFit="1" customWidth="1"/>
    <col min="15389" max="15617" width="8.85546875" style="1"/>
    <col min="15618" max="15618" width="11.42578125" style="1" customWidth="1"/>
    <col min="15619" max="15619" width="4.42578125" style="1" customWidth="1"/>
    <col min="15620" max="15643" width="8.85546875" style="1"/>
    <col min="15644" max="15644" width="13.140625" style="1" bestFit="1" customWidth="1"/>
    <col min="15645" max="15873" width="8.85546875" style="1"/>
    <col min="15874" max="15874" width="11.42578125" style="1" customWidth="1"/>
    <col min="15875" max="15875" width="4.42578125" style="1" customWidth="1"/>
    <col min="15876" max="15899" width="8.85546875" style="1"/>
    <col min="15900" max="15900" width="13.140625" style="1" bestFit="1" customWidth="1"/>
    <col min="15901" max="16129" width="8.85546875" style="1"/>
    <col min="16130" max="16130" width="11.42578125" style="1" customWidth="1"/>
    <col min="16131" max="16131" width="4.42578125" style="1" customWidth="1"/>
    <col min="16132" max="16155" width="8.85546875" style="1"/>
    <col min="16156" max="16156" width="13.140625" style="1" bestFit="1" customWidth="1"/>
    <col min="16157" max="16384" width="8.85546875" style="1"/>
  </cols>
  <sheetData>
    <row r="1" spans="1:28">
      <c r="B1" s="2" t="str">
        <f xml:space="preserve"> ('[2]Data P3A QO1H01 100A'!A2)&amp;" measured on "&amp;'[2]Data P3A QO1H01 100A'!A3</f>
        <v>QO001014.fft measured on 10-08-2012, 15:25:47</v>
      </c>
      <c r="C1" s="3"/>
      <c r="D1" s="3"/>
      <c r="E1" s="3"/>
      <c r="F1" s="3"/>
      <c r="G1" s="4"/>
    </row>
    <row r="2" spans="1:28">
      <c r="B2" s="5"/>
      <c r="H2" s="1" t="s">
        <v>11</v>
      </c>
      <c r="J2" s="1">
        <v>3.6989999999999998</v>
      </c>
    </row>
    <row r="3" spans="1:28">
      <c r="B3" s="2" t="s">
        <v>0</v>
      </c>
      <c r="C3" s="3"/>
      <c r="D3" s="3"/>
      <c r="E3" s="3"/>
      <c r="F3" s="6">
        <v>3.6989999999999998</v>
      </c>
      <c r="G3" s="7" t="s">
        <v>1</v>
      </c>
      <c r="H3" s="8" t="s">
        <v>12</v>
      </c>
      <c r="J3" s="1">
        <v>5.08</v>
      </c>
    </row>
    <row r="4" spans="1:28">
      <c r="B4" s="2"/>
      <c r="C4" s="3"/>
      <c r="D4" s="3"/>
      <c r="E4" s="3"/>
      <c r="F4" s="6"/>
      <c r="G4" s="7"/>
      <c r="H4" s="8"/>
    </row>
    <row r="5" spans="1:28">
      <c r="B5" s="5"/>
      <c r="F5" s="9"/>
      <c r="G5" s="10"/>
    </row>
    <row r="6" spans="1:28">
      <c r="B6" s="11" t="s">
        <v>2</v>
      </c>
      <c r="D6" s="11" t="s">
        <v>3</v>
      </c>
      <c r="E6" s="12">
        <v>2</v>
      </c>
      <c r="F6" s="12">
        <v>3</v>
      </c>
      <c r="G6" s="12">
        <v>4</v>
      </c>
      <c r="H6" s="12">
        <v>5</v>
      </c>
      <c r="I6" s="12">
        <v>6</v>
      </c>
      <c r="J6" s="12">
        <v>7</v>
      </c>
      <c r="K6" s="12">
        <v>8</v>
      </c>
      <c r="L6" s="12">
        <v>9</v>
      </c>
      <c r="M6" s="12">
        <v>10</v>
      </c>
      <c r="N6" s="12">
        <v>11</v>
      </c>
      <c r="O6" s="12">
        <v>12</v>
      </c>
      <c r="P6" s="12">
        <v>13</v>
      </c>
      <c r="Q6" s="12">
        <v>14</v>
      </c>
      <c r="R6" s="12">
        <v>15</v>
      </c>
      <c r="S6" s="12">
        <v>16</v>
      </c>
      <c r="T6" s="12">
        <v>17</v>
      </c>
      <c r="U6" s="12">
        <v>18</v>
      </c>
      <c r="V6" s="12">
        <v>19</v>
      </c>
      <c r="W6" s="12">
        <v>20</v>
      </c>
      <c r="X6" s="10"/>
    </row>
    <row r="7" spans="1:28">
      <c r="B7" s="11" t="s">
        <v>4</v>
      </c>
      <c r="D7" s="11" t="s">
        <v>5</v>
      </c>
      <c r="E7" s="11" t="s">
        <v>6</v>
      </c>
      <c r="F7" s="11" t="s">
        <v>7</v>
      </c>
      <c r="G7" s="11" t="s">
        <v>7</v>
      </c>
      <c r="H7" s="11" t="s">
        <v>7</v>
      </c>
      <c r="I7" s="11" t="s">
        <v>7</v>
      </c>
      <c r="J7" s="11" t="s">
        <v>7</v>
      </c>
      <c r="K7" s="11" t="s">
        <v>7</v>
      </c>
      <c r="L7" s="11" t="s">
        <v>7</v>
      </c>
      <c r="M7" s="11" t="s">
        <v>7</v>
      </c>
      <c r="N7" s="11" t="s">
        <v>7</v>
      </c>
      <c r="O7" s="11" t="s">
        <v>7</v>
      </c>
      <c r="P7" s="11" t="s">
        <v>7</v>
      </c>
      <c r="Q7" s="11" t="s">
        <v>7</v>
      </c>
      <c r="R7" s="11" t="s">
        <v>7</v>
      </c>
      <c r="S7" s="11" t="s">
        <v>7</v>
      </c>
      <c r="T7" s="11" t="s">
        <v>7</v>
      </c>
      <c r="U7" s="11" t="s">
        <v>7</v>
      </c>
      <c r="V7" s="11" t="s">
        <v>7</v>
      </c>
      <c r="W7" s="11" t="s">
        <v>7</v>
      </c>
      <c r="X7" s="10"/>
    </row>
    <row r="8" spans="1:28">
      <c r="A8" s="35">
        <f>'[2]Data P3A QO1H01 100A'!D22</f>
        <v>44217.252999999997</v>
      </c>
      <c r="B8" s="32">
        <f>A8</f>
        <v>44217.252999999997</v>
      </c>
      <c r="C8" s="14"/>
      <c r="D8" s="32">
        <f>'[2]Data P3A QO1H01 100A'!A22</f>
        <v>99.983000000000004</v>
      </c>
      <c r="E8" s="13">
        <f>B8</f>
        <v>44217.252999999997</v>
      </c>
      <c r="F8" s="14">
        <f>('[2]Data P3A QO1H01 100A'!E26*F$6/'[2]Probe Params'!G28)/('Harmonics P3A QO1H01'!$B8*2/'[2]Probe Params'!$F$26)*($F$3/'[2]Probe Params'!$B$29)^('Harmonics P3A QO1H01'!F$6-1)</f>
        <v>3.4872721733906641E-4</v>
      </c>
      <c r="G8" s="14">
        <f>('[2]Data P3A QO1H01 100A'!F26*G$6/'[2]Probe Params'!H28)/('Harmonics P3A QO1H01'!$B8*2/'[2]Probe Params'!$F$26)*($F$3/'[2]Probe Params'!$B$29)^('Harmonics P3A QO1H01'!G$6-1)</f>
        <v>3.5221331233362769E-4</v>
      </c>
      <c r="H8" s="14">
        <f>('[2]Data P3A QO1H01 100A'!G26*H$6/'[2]Probe Params'!I28)/('Harmonics P3A QO1H01'!$B8*2/'[2]Probe Params'!$F$26)*($F$3/'[2]Probe Params'!$B$29)^('Harmonics P3A QO1H01'!H$6-1)</f>
        <v>1.1400362576493817E-3</v>
      </c>
      <c r="I8" s="14">
        <f>('[2]Data P3A QO1H01 100A'!H26*I$6/'[2]Probe Params'!J28)/('Harmonics P3A QO1H01'!$B8*2/'[2]Probe Params'!$F$26)*($F$3/'[2]Probe Params'!$B$29)^('Harmonics P3A QO1H01'!I$6-1)</f>
        <v>1.437582156975452E-2</v>
      </c>
      <c r="J8" s="14">
        <f>('[2]Data P3A QO1H01 100A'!I26*J$6/'[2]Probe Params'!K28)/('Harmonics P3A QO1H01'!$B8*2/'[2]Probe Params'!$F$26)*($F$3/'[2]Probe Params'!$B$29)^('Harmonics P3A QO1H01'!J$6-1)</f>
        <v>1.2285613828674422E-4</v>
      </c>
      <c r="K8" s="14">
        <f>('[2]Data P3A QO1H01 100A'!J26*K$6/'[2]Probe Params'!L28)/('Harmonics P3A QO1H01'!$B8*2/'[2]Probe Params'!$F$26)*($F$3/'[2]Probe Params'!$B$29)^('Harmonics P3A QO1H01'!K$6-1)</f>
        <v>2.1995985918905173E-5</v>
      </c>
      <c r="L8" s="14">
        <f>('[2]Data P3A QO1H01 100A'!K26*L$6/'[2]Probe Params'!M28)/('Harmonics P3A QO1H01'!$B8*2/'[2]Probe Params'!$F$26)*($F$3/'[2]Probe Params'!$B$29)^('Harmonics P3A QO1H01'!L$6-1)</f>
        <v>6.8861569424981319E-5</v>
      </c>
      <c r="M8" s="14">
        <f>('[2]Data P3A QO1H01 100A'!L26*M$6/'[2]Probe Params'!N28)/('Harmonics P3A QO1H01'!$B8*2/'[2]Probe Params'!$F$26)*($F$3/'[2]Probe Params'!$B$29)^('Harmonics P3A QO1H01'!M$6-1)</f>
        <v>5.5957611935554302E-4</v>
      </c>
      <c r="N8" s="14">
        <f>('[2]Data P3A QO1H01 100A'!M26*N$6/'[2]Probe Params'!O28)/('Harmonics P3A QO1H01'!$B8*2/'[2]Probe Params'!$F$26)*($F$3/'[2]Probe Params'!$B$29)^('Harmonics P3A QO1H01'!N$6-1)</f>
        <v>1.6974951663411155E-5</v>
      </c>
      <c r="O8" s="14">
        <f>('[2]Data P3A QO1H01 100A'!N26*O$6/'[2]Probe Params'!P28)/('Harmonics P3A QO1H01'!$B8*2/'[2]Probe Params'!$F$26)*($F$3/'[2]Probe Params'!$B$29)^('Harmonics P3A QO1H01'!O$6-1)</f>
        <v>1.7633620886554168E-5</v>
      </c>
      <c r="P8" s="14">
        <f>('[2]Data P3A QO1H01 100A'!O26*P$6/'[2]Probe Params'!Q28)/('Harmonics P3A QO1H01'!$B8*2/'[2]Probe Params'!$F$26)*($F$3/'[2]Probe Params'!$B$29)^('Harmonics P3A QO1H01'!P$6-1)</f>
        <v>2.148225749545397E-5</v>
      </c>
      <c r="Q8" s="14">
        <f>('[2]Data P3A QO1H01 100A'!P26*Q$6/'[2]Probe Params'!R28)/('Harmonics P3A QO1H01'!$B8*2/'[2]Probe Params'!$F$26)*($F$3/'[2]Probe Params'!$B$29)^('Harmonics P3A QO1H01'!Q$6-1)</f>
        <v>1.0479061198972809E-5</v>
      </c>
      <c r="R8" s="14">
        <f>('[2]Data P3A QO1H01 100A'!Q26*R$6/'[2]Probe Params'!S28)/('Harmonics P3A QO1H01'!$B8*2/'[2]Probe Params'!$F$26)*($F$3/'[2]Probe Params'!$B$29)^('Harmonics P3A QO1H01'!R$6-1)</f>
        <v>1.5675954487431585E-5</v>
      </c>
      <c r="S8" s="14">
        <f>('[2]Data P3A QO1H01 100A'!R26*S$6/'[2]Probe Params'!T28)/('Harmonics P3A QO1H01'!$B8*2/'[2]Probe Params'!$F$26)*($F$3/'[2]Probe Params'!$B$29)^('Harmonics P3A QO1H01'!S$6-1)</f>
        <v>3.9537056330874526E-5</v>
      </c>
      <c r="T8" s="14">
        <f>('[2]Data P3A QO1H01 100A'!S26*T$6/'[2]Probe Params'!U28)/('Harmonics P3A QO1H01'!$B8*2/'[2]Probe Params'!$F$26)*($F$3/'[2]Probe Params'!$B$29)^('Harmonics P3A QO1H01'!T$6-1)</f>
        <v>7.6479393631713648E-6</v>
      </c>
      <c r="U8" s="14">
        <f>('[2]Data P3A QO1H01 100A'!T26*U$6/'[2]Probe Params'!V28)/('Harmonics P3A QO1H01'!$B8*2/'[2]Probe Params'!$F$26)*($F$3/'[2]Probe Params'!$B$29)^('Harmonics P3A QO1H01'!U$6-1)</f>
        <v>1.8025306163813619E-5</v>
      </c>
      <c r="V8" s="14">
        <f>('[2]Data P3A QO1H01 100A'!U26*V$6/'[2]Probe Params'!W28)/('Harmonics P3A QO1H01'!$B8*2/'[2]Probe Params'!$F$26)*($F$3/'[2]Probe Params'!$B$29)^('Harmonics P3A QO1H01'!V$6-1)</f>
        <v>1.918537845446281E-5</v>
      </c>
      <c r="W8" s="14">
        <f>('[2]Data P3A QO1H01 100A'!V26*W$6/'[2]Probe Params'!X28)/('Harmonics P3A QO1H01'!$B8*2/'[2]Probe Params'!$F$26)*($F$3/'[2]Probe Params'!$B$29)^('Harmonics P3A QO1H01'!W$6-1)</f>
        <v>4.938142253625137E-5</v>
      </c>
      <c r="X8" s="15"/>
      <c r="AB8" s="16"/>
    </row>
    <row r="9" spans="1:28">
      <c r="A9" s="35">
        <f>'[2]Data P3A QO1H01 200A'!D22</f>
        <v>87505.65</v>
      </c>
      <c r="B9" s="32">
        <f>A9</f>
        <v>87505.65</v>
      </c>
      <c r="D9" s="33">
        <f>'[2]Data P3A QO1H01 200A'!A22</f>
        <v>199.97200000000001</v>
      </c>
      <c r="E9" s="13">
        <f>B9</f>
        <v>87505.65</v>
      </c>
      <c r="F9" s="14">
        <f>('[2]Data P3A QO1H01 200A'!E26*F$6/'[2]Probe Params'!G28)/('Harmonics P3A QO1H01'!$B9*2/'[2]Probe Params'!$F$26)*($F$3/'[2]Probe Params'!$B$29)^('Harmonics P3A QO1H01'!F$6-1)</f>
        <v>3.4625338771876078E-4</v>
      </c>
      <c r="G9" s="14">
        <f>('[2]Data P3A QO1H01 200A'!F26*G$6/'[2]Probe Params'!H28)/('Harmonics P3A QO1H01'!$B9*2/'[2]Probe Params'!$F$26)*($F$3/'[2]Probe Params'!$B$29)^('Harmonics P3A QO1H01'!G$6-1)</f>
        <v>3.6251767529167482E-4</v>
      </c>
      <c r="H9" s="14">
        <f>('[2]Data P3A QO1H01 200A'!G26*H$6/'[2]Probe Params'!I28)/('Harmonics P3A QO1H01'!$B9*2/'[2]Probe Params'!$F$26)*($F$3/'[2]Probe Params'!$B$29)^('Harmonics P3A QO1H01'!H$6-1)</f>
        <v>1.1561081339585971E-3</v>
      </c>
      <c r="I9" s="14">
        <f>('[2]Data P3A QO1H01 200A'!H26*I$6/'[2]Probe Params'!J28)/('Harmonics P3A QO1H01'!$B9*2/'[2]Probe Params'!$F$26)*($F$3/'[2]Probe Params'!$B$29)^('Harmonics P3A QO1H01'!I$6-1)</f>
        <v>1.4386993808886035E-2</v>
      </c>
      <c r="J9" s="14">
        <f>('[2]Data P3A QO1H01 200A'!I26*J$6/'[2]Probe Params'!K28)/('Harmonics P3A QO1H01'!$B9*2/'[2]Probe Params'!$F$26)*($F$3/'[2]Probe Params'!$B$29)^('Harmonics P3A QO1H01'!J$6-1)</f>
        <v>1.1629182719254058E-4</v>
      </c>
      <c r="K9" s="14">
        <f>('[2]Data P3A QO1H01 200A'!J26*K$6/'[2]Probe Params'!L28)/('Harmonics P3A QO1H01'!$B9*2/'[2]Probe Params'!$F$26)*($F$3/'[2]Probe Params'!$B$29)^('Harmonics P3A QO1H01'!K$6-1)</f>
        <v>2.6884666445348762E-5</v>
      </c>
      <c r="L9" s="14">
        <f>('[2]Data P3A QO1H01 200A'!K26*L$6/'[2]Probe Params'!M28)/('Harmonics P3A QO1H01'!$B9*2/'[2]Probe Params'!$F$26)*($F$3/'[2]Probe Params'!$B$29)^('Harmonics P3A QO1H01'!L$6-1)</f>
        <v>7.2208186287071012E-5</v>
      </c>
      <c r="M9" s="14">
        <f>('[2]Data P3A QO1H01 200A'!L26*M$6/'[2]Probe Params'!N28)/('Harmonics P3A QO1H01'!$B9*2/'[2]Probe Params'!$F$26)*($F$3/'[2]Probe Params'!$B$29)^('Harmonics P3A QO1H01'!M$6-1)</f>
        <v>5.5629887002116068E-4</v>
      </c>
      <c r="N9" s="14">
        <f>('[2]Data P3A QO1H01 200A'!M26*N$6/'[2]Probe Params'!O28)/('Harmonics P3A QO1H01'!$B9*2/'[2]Probe Params'!$F$26)*($F$3/'[2]Probe Params'!$B$29)^('Harmonics P3A QO1H01'!N$6-1)</f>
        <v>2.4446071050690928E-5</v>
      </c>
      <c r="O9" s="14">
        <f>('[2]Data P3A QO1H01 200A'!N26*O$6/'[2]Probe Params'!P28)/('Harmonics P3A QO1H01'!$B9*2/'[2]Probe Params'!$F$26)*($F$3/'[2]Probe Params'!$B$29)^('Harmonics P3A QO1H01'!O$6-1)</f>
        <v>1.5593198645824441E-5</v>
      </c>
      <c r="P9" s="14">
        <f>('[2]Data P3A QO1H01 200A'!O26*P$6/'[2]Probe Params'!Q28)/('Harmonics P3A QO1H01'!$B9*2/'[2]Probe Params'!$F$26)*($F$3/'[2]Probe Params'!$B$29)^('Harmonics P3A QO1H01'!P$6-1)</f>
        <v>2.803312911020248E-5</v>
      </c>
      <c r="Q9" s="14">
        <f>('[2]Data P3A QO1H01 200A'!P26*Q$6/'[2]Probe Params'!R28)/('Harmonics P3A QO1H01'!$B9*2/'[2]Probe Params'!$F$26)*($F$3/'[2]Probe Params'!$B$29)^('Harmonics P3A QO1H01'!Q$6-1)</f>
        <v>1.7871121902430769E-5</v>
      </c>
      <c r="R9" s="14">
        <f>('[2]Data P3A QO1H01 200A'!Q26*R$6/'[2]Probe Params'!S28)/('Harmonics P3A QO1H01'!$B9*2/'[2]Probe Params'!$F$26)*($F$3/'[2]Probe Params'!$B$29)^('Harmonics P3A QO1H01'!R$6-1)</f>
        <v>3.3037099470753163E-5</v>
      </c>
      <c r="S9" s="14">
        <f>('[2]Data P3A QO1H01 200A'!R26*S$6/'[2]Probe Params'!T28)/('Harmonics P3A QO1H01'!$B9*2/'[2]Probe Params'!$F$26)*($F$3/'[2]Probe Params'!$B$29)^('Harmonics P3A QO1H01'!S$6-1)</f>
        <v>1.0023510776740535E-5</v>
      </c>
      <c r="T9" s="14">
        <f>('[2]Data P3A QO1H01 200A'!S26*T$6/'[2]Probe Params'!U28)/('Harmonics P3A QO1H01'!$B9*2/'[2]Probe Params'!$F$26)*($F$3/'[2]Probe Params'!$B$29)^('Harmonics P3A QO1H01'!T$6-1)</f>
        <v>9.2603617127624825E-6</v>
      </c>
      <c r="U9" s="14">
        <f>('[2]Data P3A QO1H01 200A'!T26*U$6/'[2]Probe Params'!V28)/('Harmonics P3A QO1H01'!$B9*2/'[2]Probe Params'!$F$26)*($F$3/'[2]Probe Params'!$B$29)^('Harmonics P3A QO1H01'!U$6-1)</f>
        <v>9.880212282091113E-6</v>
      </c>
      <c r="V9" s="14">
        <f>('[2]Data P3A QO1H01 200A'!U26*V$6/'[2]Probe Params'!W28)/('Harmonics P3A QO1H01'!$B9*2/'[2]Probe Params'!$F$26)*($F$3/'[2]Probe Params'!$B$29)^('Harmonics P3A QO1H01'!V$6-1)</f>
        <v>3.6659926200086274E-5</v>
      </c>
      <c r="W9" s="14">
        <f>('[2]Data P3A QO1H01 200A'!V26*W$6/'[2]Probe Params'!X28)/('Harmonics P3A QO1H01'!$B9*2/'[2]Probe Params'!$F$26)*($F$3/'[2]Probe Params'!$B$29)^('Harmonics P3A QO1H01'!W$6-1)</f>
        <v>3.6700335967117941E-5</v>
      </c>
      <c r="X9" s="16"/>
      <c r="Y9" s="18"/>
      <c r="Z9" s="15"/>
      <c r="AB9" s="16"/>
    </row>
    <row r="10" spans="1:28">
      <c r="A10" s="35">
        <f>'[2]Data P3A QO1H01 300A'!D22</f>
        <v>118079.47100000001</v>
      </c>
      <c r="B10" s="32">
        <f>A10</f>
        <v>118079.47100000001</v>
      </c>
      <c r="D10" s="34">
        <f>'[2]Data P3A QO1H01 300A'!A22</f>
        <v>299.96300000000002</v>
      </c>
      <c r="E10" s="17">
        <f>B10</f>
        <v>118079.47100000001</v>
      </c>
      <c r="F10" s="19">
        <f>('[2]Data P3A QO1H01 300A'!E26*F$6/'[2]Probe Params'!G28)/('Harmonics P3A QO1H01'!$B10*2/'[2]Probe Params'!$F$26)*($F$3/'[2]Probe Params'!$B$29)^('Harmonics P3A QO1H01'!F$6-1)</f>
        <v>3.5012523558111859E-4</v>
      </c>
      <c r="G10" s="19">
        <f>('[2]Data P3A QO1H01 300A'!F26*G$6/'[2]Probe Params'!H28)/('Harmonics P3A QO1H01'!$B10*2/'[2]Probe Params'!$F$26)*($F$3/'[2]Probe Params'!$B$29)^('Harmonics P3A QO1H01'!G$6-1)</f>
        <v>3.6272191966068716E-4</v>
      </c>
      <c r="H10" s="19">
        <f>('[2]Data P3A QO1H01 300A'!G26*H$6/'[2]Probe Params'!I28)/('Harmonics P3A QO1H01'!$B10*2/'[2]Probe Params'!$F$26)*($F$3/'[2]Probe Params'!$B$29)^('Harmonics P3A QO1H01'!H$6-1)</f>
        <v>1.1558420291081306E-3</v>
      </c>
      <c r="I10" s="19">
        <f>('[2]Data P3A QO1H01 300A'!H26*I$6/'[2]Probe Params'!J28)/('Harmonics P3A QO1H01'!$B10*2/'[2]Probe Params'!$F$26)*($F$3/'[2]Probe Params'!$B$29)^('Harmonics P3A QO1H01'!I$6-1)</f>
        <v>1.440842359392683E-2</v>
      </c>
      <c r="J10" s="19">
        <f>('[2]Data P3A QO1H01 300A'!I26*J$6/'[2]Probe Params'!K28)/('Harmonics P3A QO1H01'!$B10*2/'[2]Probe Params'!$F$26)*($F$3/'[2]Probe Params'!$B$29)^('Harmonics P3A QO1H01'!J$6-1)</f>
        <v>1.2447555020615847E-4</v>
      </c>
      <c r="K10" s="19">
        <f>('[2]Data P3A QO1H01 300A'!J26*K$6/'[2]Probe Params'!L28)/('Harmonics P3A QO1H01'!$B10*2/'[2]Probe Params'!$F$26)*($F$3/'[2]Probe Params'!$B$29)^('Harmonics P3A QO1H01'!K$6-1)</f>
        <v>3.2385769408175541E-5</v>
      </c>
      <c r="L10" s="19">
        <f>('[2]Data P3A QO1H01 300A'!K26*L$6/'[2]Probe Params'!M28)/('Harmonics P3A QO1H01'!$B10*2/'[2]Probe Params'!$F$26)*($F$3/'[2]Probe Params'!$B$29)^('Harmonics P3A QO1H01'!L$6-1)</f>
        <v>6.7374130562764141E-5</v>
      </c>
      <c r="M10" s="19">
        <f>('[2]Data P3A QO1H01 300A'!L26*M$6/'[2]Probe Params'!N28)/('Harmonics P3A QO1H01'!$B10*2/'[2]Probe Params'!$F$26)*($F$3/'[2]Probe Params'!$B$29)^('Harmonics P3A QO1H01'!M$6-1)</f>
        <v>5.5838641910709909E-4</v>
      </c>
      <c r="N10" s="19">
        <f>('[2]Data P3A QO1H01 300A'!M26*N$6/'[2]Probe Params'!O28)/('Harmonics P3A QO1H01'!$B10*2/'[2]Probe Params'!$F$26)*($F$3/'[2]Probe Params'!$B$29)^('Harmonics P3A QO1H01'!N$6-1)</f>
        <v>2.5497088913330213E-5</v>
      </c>
      <c r="O10" s="19">
        <f>('[2]Data P3A QO1H01 300A'!N26*O$6/'[2]Probe Params'!P28)/('Harmonics P3A QO1H01'!$B10*2/'[2]Probe Params'!$F$26)*($F$3/'[2]Probe Params'!$B$29)^('Harmonics P3A QO1H01'!O$6-1)</f>
        <v>2.2228439545931778E-5</v>
      </c>
      <c r="P10" s="19">
        <f>('[2]Data P3A QO1H01 300A'!O26*P$6/'[2]Probe Params'!Q28)/('Harmonics P3A QO1H01'!$B10*2/'[2]Probe Params'!$F$26)*($F$3/'[2]Probe Params'!$B$29)^('Harmonics P3A QO1H01'!P$6-1)</f>
        <v>2.3262608348184668E-5</v>
      </c>
      <c r="Q10" s="19">
        <f>('[2]Data P3A QO1H01 300A'!P26*Q$6/'[2]Probe Params'!R28)/('Harmonics P3A QO1H01'!$B10*2/'[2]Probe Params'!$F$26)*($F$3/'[2]Probe Params'!$B$29)^('Harmonics P3A QO1H01'!Q$6-1)</f>
        <v>1.3020867383510979E-5</v>
      </c>
      <c r="R10" s="19">
        <f>('[2]Data P3A QO1H01 300A'!Q26*R$6/'[2]Probe Params'!S28)/('Harmonics P3A QO1H01'!$B10*2/'[2]Probe Params'!$F$26)*($F$3/'[2]Probe Params'!$B$29)^('Harmonics P3A QO1H01'!R$6-1)</f>
        <v>1.6846936834331513E-5</v>
      </c>
      <c r="S10" s="19">
        <f>('[2]Data P3A QO1H01 300A'!R26*S$6/'[2]Probe Params'!T28)/('Harmonics P3A QO1H01'!$B10*2/'[2]Probe Params'!$F$26)*($F$3/'[2]Probe Params'!$B$29)^('Harmonics P3A QO1H01'!S$6-1)</f>
        <v>5.8000742533627667E-6</v>
      </c>
      <c r="T10" s="19">
        <f>('[2]Data P3A QO1H01 300A'!S26*T$6/'[2]Probe Params'!U28)/('Harmonics P3A QO1H01'!$B10*2/'[2]Probe Params'!$F$26)*($F$3/'[2]Probe Params'!$B$29)^('Harmonics P3A QO1H01'!T$6-1)</f>
        <v>3.0854750169677814E-5</v>
      </c>
      <c r="U10" s="19">
        <f>('[2]Data P3A QO1H01 300A'!T26*U$6/'[2]Probe Params'!V28)/('Harmonics P3A QO1H01'!$B10*2/'[2]Probe Params'!$F$26)*($F$3/'[2]Probe Params'!$B$29)^('Harmonics P3A QO1H01'!U$6-1)</f>
        <v>1.2127013564387233E-5</v>
      </c>
      <c r="V10" s="19">
        <f>('[2]Data P3A QO1H01 300A'!U26*V$6/'[2]Probe Params'!W28)/('Harmonics P3A QO1H01'!$B10*2/'[2]Probe Params'!$F$26)*($F$3/'[2]Probe Params'!$B$29)^('Harmonics P3A QO1H01'!V$6-1)</f>
        <v>1.92588988380526E-5</v>
      </c>
      <c r="W10" s="19">
        <f>('[2]Data P3A QO1H01 300A'!V26*W$6/'[2]Probe Params'!X28)/('Harmonics P3A QO1H01'!$B10*2/'[2]Probe Params'!$F$26)*($F$3/'[2]Probe Params'!$B$29)^('Harmonics P3A QO1H01'!W$6-1)</f>
        <v>9.9131702664751979E-6</v>
      </c>
      <c r="X10" s="15"/>
      <c r="AB10" s="16"/>
    </row>
    <row r="11" spans="1:28">
      <c r="X11" s="15"/>
      <c r="AB11" s="16"/>
    </row>
    <row r="14" spans="1:28" ht="15">
      <c r="B14" s="20" t="s">
        <v>13</v>
      </c>
      <c r="C14" s="21"/>
      <c r="D14" s="22">
        <v>5.08</v>
      </c>
      <c r="E14" s="23" t="s">
        <v>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</row>
    <row r="15" spans="1:28" ht="15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</row>
    <row r="16" spans="1:28" ht="15">
      <c r="B16" s="24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</row>
    <row r="17" spans="2:22" ht="15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</row>
    <row r="18" spans="2:22" ht="15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</row>
    <row r="19" spans="2:22" ht="15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</row>
    <row r="20" spans="2:22" ht="15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</row>
    <row r="21" spans="2:22" ht="15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</row>
    <row r="22" spans="2:22" ht="1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</row>
    <row r="23" spans="2:22" ht="15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</row>
    <row r="24" spans="2:22" ht="1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2:22" ht="15">
      <c r="O25"/>
      <c r="P25"/>
      <c r="Q25"/>
      <c r="R25"/>
      <c r="S25"/>
      <c r="T25"/>
      <c r="U25"/>
      <c r="V25"/>
    </row>
    <row r="26" spans="2:22" ht="15">
      <c r="O26"/>
      <c r="P26"/>
      <c r="Q26"/>
      <c r="R26"/>
      <c r="S26"/>
      <c r="T26"/>
      <c r="U26"/>
      <c r="V26"/>
    </row>
    <row r="27" spans="2:22" ht="15">
      <c r="O27"/>
      <c r="P27"/>
      <c r="Q27"/>
      <c r="R27"/>
      <c r="S27"/>
      <c r="T27"/>
      <c r="U27"/>
      <c r="V27"/>
    </row>
    <row r="28" spans="2:22" ht="15">
      <c r="O28"/>
      <c r="P28"/>
      <c r="Q28"/>
      <c r="R28"/>
      <c r="S28"/>
      <c r="T28"/>
      <c r="U28"/>
      <c r="V28"/>
    </row>
    <row r="29" spans="2:22" ht="15">
      <c r="B29" s="1" t="s">
        <v>6</v>
      </c>
      <c r="O29"/>
      <c r="P29"/>
      <c r="Q29"/>
      <c r="R29"/>
      <c r="S29"/>
      <c r="T29"/>
      <c r="U29"/>
      <c r="V29"/>
    </row>
    <row r="30" spans="2:22" ht="15">
      <c r="B30" s="1" t="s">
        <v>6</v>
      </c>
      <c r="O30"/>
      <c r="P30"/>
      <c r="Q30"/>
      <c r="R30"/>
      <c r="S30"/>
      <c r="T30"/>
      <c r="U30"/>
      <c r="V30"/>
    </row>
    <row r="31" spans="2:22" ht="15">
      <c r="O31"/>
      <c r="P31"/>
      <c r="Q31"/>
      <c r="R31"/>
      <c r="S31"/>
      <c r="T31"/>
      <c r="U31"/>
      <c r="V31"/>
    </row>
    <row r="32" spans="2:22" ht="15">
      <c r="O32"/>
      <c r="P32"/>
      <c r="Q32"/>
      <c r="R32"/>
      <c r="S32"/>
      <c r="T32"/>
      <c r="U32"/>
      <c r="V32"/>
    </row>
    <row r="33" spans="15:28" ht="15">
      <c r="O33"/>
      <c r="P33"/>
      <c r="Q33"/>
      <c r="R33"/>
      <c r="S33"/>
      <c r="T33"/>
      <c r="U33"/>
      <c r="V33"/>
    </row>
    <row r="34" spans="15:28" ht="15">
      <c r="O34"/>
      <c r="P34"/>
      <c r="Q34"/>
      <c r="R34"/>
      <c r="S34"/>
      <c r="T34"/>
      <c r="U34"/>
      <c r="V34"/>
    </row>
    <row r="35" spans="15:28" ht="15">
      <c r="O35"/>
      <c r="P35"/>
      <c r="Q35"/>
      <c r="R35"/>
      <c r="S35"/>
      <c r="T35"/>
      <c r="U35"/>
      <c r="V35"/>
    </row>
    <row r="36" spans="15:28" ht="15">
      <c r="O36"/>
      <c r="P36"/>
      <c r="Q36"/>
      <c r="R36"/>
      <c r="S36"/>
      <c r="T36"/>
      <c r="U36"/>
      <c r="V36"/>
    </row>
    <row r="37" spans="15:28" ht="15">
      <c r="O37"/>
      <c r="P37"/>
      <c r="Q37"/>
      <c r="R37"/>
      <c r="S37"/>
      <c r="T37"/>
      <c r="U37"/>
      <c r="V37"/>
    </row>
    <row r="38" spans="15:28" ht="15">
      <c r="O38"/>
      <c r="P38"/>
      <c r="Q38"/>
      <c r="R38"/>
      <c r="S38"/>
      <c r="T38"/>
      <c r="U38"/>
      <c r="V38"/>
    </row>
    <row r="39" spans="15:28" ht="15">
      <c r="O39"/>
      <c r="P39"/>
      <c r="Q39"/>
      <c r="R39"/>
      <c r="S39"/>
      <c r="T39"/>
      <c r="U39"/>
      <c r="V39"/>
    </row>
    <row r="40" spans="15:28" ht="15">
      <c r="O40"/>
      <c r="P40"/>
      <c r="Q40"/>
      <c r="R40"/>
      <c r="S40"/>
      <c r="T40"/>
      <c r="U40"/>
      <c r="V40"/>
      <c r="W40" s="25"/>
      <c r="X40"/>
      <c r="Y40"/>
      <c r="Z40"/>
      <c r="AA40"/>
      <c r="AB40"/>
    </row>
    <row r="41" spans="15:28" ht="15"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15:28" ht="15">
      <c r="O42"/>
      <c r="P42"/>
      <c r="Q42"/>
      <c r="R42"/>
      <c r="S42"/>
      <c r="T42"/>
      <c r="U42"/>
      <c r="V42"/>
      <c r="W42" s="26"/>
      <c r="X42"/>
      <c r="Y42"/>
      <c r="Z42"/>
      <c r="AA42"/>
      <c r="AB42"/>
    </row>
    <row r="43" spans="15:28" ht="15"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15:28" ht="15"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 spans="15:28" ht="15">
      <c r="O45"/>
      <c r="P45"/>
      <c r="Q45"/>
      <c r="R45"/>
      <c r="S45"/>
      <c r="T45"/>
      <c r="U45"/>
      <c r="V45"/>
      <c r="W45"/>
      <c r="X45"/>
      <c r="Y45"/>
    </row>
    <row r="46" spans="15:28" ht="15">
      <c r="O46"/>
      <c r="P46"/>
      <c r="Q46"/>
      <c r="R46"/>
      <c r="S46"/>
      <c r="T46"/>
      <c r="U46"/>
      <c r="V46"/>
      <c r="Y46"/>
    </row>
    <row r="47" spans="15:28" ht="15">
      <c r="O47"/>
      <c r="P47"/>
      <c r="Q47"/>
      <c r="R47"/>
      <c r="S47"/>
      <c r="T47"/>
      <c r="U47"/>
      <c r="V47"/>
      <c r="Y47"/>
    </row>
    <row r="48" spans="15:28" ht="15">
      <c r="O48"/>
      <c r="P48"/>
      <c r="Q48"/>
      <c r="R48"/>
      <c r="S48"/>
      <c r="T48"/>
      <c r="U48"/>
      <c r="V48"/>
      <c r="W48" s="27"/>
      <c r="X48" s="27"/>
      <c r="Y48"/>
      <c r="Z48" s="27"/>
      <c r="AA48" s="27"/>
      <c r="AB48" s="27"/>
    </row>
    <row r="49" spans="15:28" ht="15">
      <c r="O49"/>
      <c r="P49"/>
      <c r="Q49"/>
      <c r="R49"/>
      <c r="S49"/>
      <c r="T49"/>
      <c r="U49"/>
      <c r="V49"/>
      <c r="W49" s="27"/>
      <c r="X49" s="27"/>
      <c r="Y49"/>
      <c r="Z49" s="27"/>
      <c r="AA49" s="27"/>
      <c r="AB49" s="27"/>
    </row>
    <row r="50" spans="15:28" ht="15">
      <c r="O50"/>
      <c r="P50"/>
      <c r="Q50"/>
      <c r="R50"/>
      <c r="S50"/>
      <c r="T50"/>
      <c r="U50"/>
      <c r="V50"/>
      <c r="W50" s="27"/>
      <c r="X50" s="27"/>
      <c r="Y50"/>
      <c r="Z50" s="27"/>
      <c r="AA50" s="27"/>
      <c r="AB50" s="27"/>
    </row>
    <row r="51" spans="15:28" ht="15">
      <c r="O51"/>
      <c r="P51"/>
      <c r="Q51"/>
      <c r="R51"/>
      <c r="S51"/>
      <c r="T51"/>
      <c r="U51"/>
      <c r="V51"/>
    </row>
    <row r="52" spans="15:28" ht="15">
      <c r="O52"/>
      <c r="P52"/>
      <c r="Q52"/>
      <c r="R52"/>
      <c r="S52"/>
      <c r="T52"/>
      <c r="U52"/>
      <c r="V52"/>
    </row>
    <row r="53" spans="15:28" ht="15">
      <c r="O53"/>
      <c r="P53"/>
      <c r="Q53"/>
      <c r="R53"/>
      <c r="S53"/>
      <c r="T53"/>
      <c r="U53"/>
      <c r="V53"/>
    </row>
    <row r="54" spans="15:28" ht="15">
      <c r="O54"/>
      <c r="P54"/>
      <c r="Q54"/>
      <c r="R54"/>
      <c r="S54"/>
      <c r="T54"/>
      <c r="U54"/>
      <c r="V54"/>
    </row>
    <row r="55" spans="15:28" ht="15">
      <c r="O55"/>
      <c r="P55"/>
      <c r="Q55"/>
      <c r="R55"/>
      <c r="S55"/>
      <c r="T55"/>
      <c r="U55"/>
      <c r="V55"/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Map</vt:lpstr>
      <vt:lpstr>Harmonics P3A QO1H01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2013-02-11T19:44:06Z</dcterms:modified>
</cp:coreProperties>
</file>